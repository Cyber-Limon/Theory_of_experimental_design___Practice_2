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Загрузки\ТПЭ\"/>
    </mc:Choice>
  </mc:AlternateContent>
  <xr:revisionPtr revIDLastSave="0" documentId="13_ncr:1_{D7EDC61E-C4D8-4AE3-AC04-602CE9901A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G12" i="1"/>
  <c r="D12" i="1"/>
  <c r="E12" i="1"/>
  <c r="F12" i="1"/>
  <c r="C12" i="1"/>
  <c r="C13" i="1" l="1"/>
  <c r="C14" i="1" s="1"/>
  <c r="G14" i="1" l="1"/>
  <c r="D14" i="1"/>
  <c r="E14" i="1"/>
  <c r="F14" i="1"/>
  <c r="C15" i="1" l="1"/>
  <c r="C17" i="1" l="1"/>
</calcChain>
</file>

<file path=xl/sharedStrings.xml><?xml version="1.0" encoding="utf-8"?>
<sst xmlns="http://schemas.openxmlformats.org/spreadsheetml/2006/main" count="10" uniqueCount="10">
  <si>
    <t>Факторы</t>
  </si>
  <si>
    <t>Эксперты</t>
  </si>
  <si>
    <t xml:space="preserve"> </t>
  </si>
  <si>
    <t>Сумма</t>
  </si>
  <si>
    <t>Разность</t>
  </si>
  <si>
    <t>Средняя сумма</t>
  </si>
  <si>
    <t>Сумма квадратов</t>
  </si>
  <si>
    <t xml:space="preserve">Конкордация </t>
  </si>
  <si>
    <t>X^2</t>
  </si>
  <si>
    <t>X^2 (теор.)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</si>
</sst>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"/>
  <sheetViews>
    <sheetView tabSelected="1" workbookViewId="0">
      <selection activeCell="I2" sqref="I2"/>
    </sheetView>
  </sheetViews>
  <sheetFormatPr defaultRowHeight="15" x14ac:dyDescent="0.25"/>
  <cols>
    <col min="1" max="1" width="10.7109375" customWidth="1"/>
    <col min="2" max="2" width="25.7109375" customWidth="1"/>
    <col min="3" max="26" width="10.7109375" customWidth="1"/>
  </cols>
  <sheetData>
    <row r="1" spans="1:26" ht="20.100000000000001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100000000000001" customHeight="1" thickBot="1" x14ac:dyDescent="0.3">
      <c r="A2" s="1"/>
      <c r="B2" s="27" t="s">
        <v>1</v>
      </c>
      <c r="C2" s="24" t="s">
        <v>0</v>
      </c>
      <c r="D2" s="25"/>
      <c r="E2" s="25"/>
      <c r="F2" s="25"/>
      <c r="G2" s="2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 thickBot="1" x14ac:dyDescent="0.3">
      <c r="A3" s="1"/>
      <c r="B3" s="28"/>
      <c r="C3" s="10">
        <v>1</v>
      </c>
      <c r="D3" s="11">
        <v>2</v>
      </c>
      <c r="E3" s="11">
        <v>3</v>
      </c>
      <c r="F3" s="11">
        <v>4</v>
      </c>
      <c r="G3" s="12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 x14ac:dyDescent="0.25">
      <c r="A4" s="1"/>
      <c r="B4" s="4">
        <v>1</v>
      </c>
      <c r="C4" s="13">
        <v>1</v>
      </c>
      <c r="D4" s="6">
        <v>2</v>
      </c>
      <c r="E4" s="6">
        <v>3</v>
      </c>
      <c r="F4" s="6">
        <v>4</v>
      </c>
      <c r="G4" s="7">
        <v>5</v>
      </c>
      <c r="H4" s="1"/>
      <c r="I4" s="1" t="s">
        <v>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100000000000001" customHeight="1" x14ac:dyDescent="0.25">
      <c r="A5" s="1"/>
      <c r="B5" s="5">
        <v>2</v>
      </c>
      <c r="C5" s="3">
        <v>2</v>
      </c>
      <c r="D5" s="2">
        <v>4</v>
      </c>
      <c r="E5" s="2">
        <v>5</v>
      </c>
      <c r="F5" s="2">
        <v>3</v>
      </c>
      <c r="G5" s="8"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100000000000001" customHeight="1" x14ac:dyDescent="0.25">
      <c r="A6" s="1"/>
      <c r="B6" s="5">
        <v>3</v>
      </c>
      <c r="C6" s="3">
        <v>2</v>
      </c>
      <c r="D6" s="2">
        <v>3</v>
      </c>
      <c r="E6" s="2">
        <v>4</v>
      </c>
      <c r="F6" s="2">
        <v>1</v>
      </c>
      <c r="G6" s="8">
        <v>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100000000000001" customHeight="1" x14ac:dyDescent="0.25">
      <c r="A7" s="1"/>
      <c r="B7" s="5">
        <v>4</v>
      </c>
      <c r="C7" s="3">
        <v>2</v>
      </c>
      <c r="D7" s="2">
        <v>3</v>
      </c>
      <c r="E7" s="2">
        <v>1</v>
      </c>
      <c r="F7" s="2">
        <v>5</v>
      </c>
      <c r="G7" s="8">
        <v>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100000000000001" customHeight="1" x14ac:dyDescent="0.25">
      <c r="A8" s="1"/>
      <c r="B8" s="5">
        <v>5</v>
      </c>
      <c r="C8" s="3">
        <v>3</v>
      </c>
      <c r="D8" s="2">
        <v>1</v>
      </c>
      <c r="E8" s="2">
        <v>4</v>
      </c>
      <c r="F8" s="2">
        <v>2</v>
      </c>
      <c r="G8" s="8">
        <v>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100000000000001" customHeight="1" x14ac:dyDescent="0.25">
      <c r="A9" s="1"/>
      <c r="B9" s="5">
        <v>6</v>
      </c>
      <c r="C9" s="3">
        <v>2</v>
      </c>
      <c r="D9" s="2">
        <v>5</v>
      </c>
      <c r="E9" s="2">
        <v>1</v>
      </c>
      <c r="F9" s="2">
        <v>3</v>
      </c>
      <c r="G9" s="8"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100000000000001" customHeight="1" x14ac:dyDescent="0.25">
      <c r="A10" s="1"/>
      <c r="B10" s="5">
        <v>7</v>
      </c>
      <c r="C10" s="3">
        <v>3</v>
      </c>
      <c r="D10" s="2">
        <v>4</v>
      </c>
      <c r="E10" s="2">
        <v>1</v>
      </c>
      <c r="F10" s="2">
        <v>2</v>
      </c>
      <c r="G10" s="8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100000000000001" customHeight="1" thickBot="1" x14ac:dyDescent="0.3">
      <c r="A11" s="1"/>
      <c r="B11" s="9">
        <v>8</v>
      </c>
      <c r="C11" s="14">
        <v>1</v>
      </c>
      <c r="D11" s="15">
        <v>2</v>
      </c>
      <c r="E11" s="15">
        <v>4</v>
      </c>
      <c r="F11" s="15">
        <v>5</v>
      </c>
      <c r="G11" s="16">
        <v>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100000000000001" customHeight="1" thickBot="1" x14ac:dyDescent="0.3">
      <c r="A12" s="1"/>
      <c r="B12" s="17" t="s">
        <v>3</v>
      </c>
      <c r="C12" s="18">
        <f>SUM(C4:C11)</f>
        <v>16</v>
      </c>
      <c r="D12" s="19">
        <f>SUM(D4:D11)</f>
        <v>24</v>
      </c>
      <c r="E12" s="19">
        <f>SUM(E4:E11)</f>
        <v>23</v>
      </c>
      <c r="F12" s="19">
        <f>SUM(F4:F11)</f>
        <v>25</v>
      </c>
      <c r="G12" s="20">
        <f>SUM(G4:G11)</f>
        <v>32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100000000000001" customHeight="1" thickBot="1" x14ac:dyDescent="0.3">
      <c r="A13" s="1"/>
      <c r="B13" s="17" t="s">
        <v>5</v>
      </c>
      <c r="C13" s="29">
        <f>SUM(C12:G12)/5</f>
        <v>24</v>
      </c>
      <c r="D13" s="30"/>
      <c r="E13" s="30"/>
      <c r="F13" s="30"/>
      <c r="G13" s="3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100000000000001" customHeight="1" thickBot="1" x14ac:dyDescent="0.3">
      <c r="A14" s="1"/>
      <c r="B14" s="17" t="s">
        <v>4</v>
      </c>
      <c r="C14" s="18">
        <f>C12-$C13</f>
        <v>-8</v>
      </c>
      <c r="D14" s="19">
        <f t="shared" ref="D14:G14" si="0">D12-$C13</f>
        <v>0</v>
      </c>
      <c r="E14" s="19">
        <f t="shared" si="0"/>
        <v>-1</v>
      </c>
      <c r="F14" s="19">
        <f t="shared" si="0"/>
        <v>1</v>
      </c>
      <c r="G14" s="20">
        <f t="shared" si="0"/>
        <v>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100000000000001" customHeight="1" thickBot="1" x14ac:dyDescent="0.3">
      <c r="A15" s="1"/>
      <c r="B15" s="21" t="s">
        <v>6</v>
      </c>
      <c r="C15" s="32">
        <f>SUMPRODUCT(C14:G14,C14:G14)</f>
        <v>130</v>
      </c>
      <c r="D15" s="33"/>
      <c r="E15" s="33"/>
      <c r="F15" s="33"/>
      <c r="G15" s="3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100000000000001" customHeight="1" thickBot="1" x14ac:dyDescent="0.3">
      <c r="A16" s="1"/>
      <c r="B16" s="17" t="s">
        <v>7</v>
      </c>
      <c r="C16" s="35">
        <f>12*C15/(POWER(B11,2)*(POWER(G3,3)-G3))</f>
        <v>0.203125</v>
      </c>
      <c r="D16" s="35"/>
      <c r="E16" s="35"/>
      <c r="F16" s="35"/>
      <c r="G16" s="3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100000000000001" customHeight="1" thickBot="1" x14ac:dyDescent="0.3">
      <c r="A17" s="1"/>
      <c r="B17" s="17" t="s">
        <v>8</v>
      </c>
      <c r="C17" s="35">
        <f>12*C15/(B11*G3*(G3+1))</f>
        <v>6.5</v>
      </c>
      <c r="D17" s="35"/>
      <c r="E17" s="35"/>
      <c r="F17" s="35"/>
      <c r="G17" s="3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100000000000001" customHeight="1" thickBot="1" x14ac:dyDescent="0.3">
      <c r="A18" s="1"/>
      <c r="B18" s="21" t="s">
        <v>9</v>
      </c>
      <c r="C18" s="22">
        <v>9.49</v>
      </c>
      <c r="D18" s="22"/>
      <c r="E18" s="22"/>
      <c r="F18" s="22"/>
      <c r="G18" s="2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100000000000001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10000000000000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10000000000000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100000000000001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100000000000001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100000000000001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100000000000001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100000000000001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100000000000001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10000000000000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10000000000000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100000000000001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10000000000000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100000000000001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100000000000001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100000000000001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100000000000001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100000000000001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100000000000001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100000000000001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100000000000001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</sheetData>
  <mergeCells count="7">
    <mergeCell ref="C18:G18"/>
    <mergeCell ref="C2:G2"/>
    <mergeCell ref="B2:B3"/>
    <mergeCell ref="C13:G13"/>
    <mergeCell ref="C15:G15"/>
    <mergeCell ref="C16:G16"/>
    <mergeCell ref="C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Sharigin</dc:creator>
  <cp:lastModifiedBy>Maxim Sharigin</cp:lastModifiedBy>
  <dcterms:created xsi:type="dcterms:W3CDTF">2015-06-05T18:19:34Z</dcterms:created>
  <dcterms:modified xsi:type="dcterms:W3CDTF">2025-11-13T05:41:46Z</dcterms:modified>
</cp:coreProperties>
</file>